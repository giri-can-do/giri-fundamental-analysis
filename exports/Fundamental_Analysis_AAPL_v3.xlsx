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,,,&quot;B&quot;"/>
    <numFmt numFmtId="165" formatCode="$0.00"/>
    <numFmt numFmtId="166" formatCode="$#,##0.00,,,&quot;B&quot;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0" fontId="0" fillId="0" borderId="0" pivotButton="0" quotePrefix="0" xfId="0"/>
    <xf numFmtId="165" fontId="0" fillId="0" borderId="1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ANALYSIS</t>
        </is>
      </c>
    </row>
    <row r="2">
      <c r="A2" s="2" t="inlineStr">
        <is>
          <t>Apple Inc.</t>
        </is>
      </c>
    </row>
    <row r="3">
      <c r="A3" t="inlineStr">
        <is>
          <t>AAPL</t>
        </is>
      </c>
    </row>
    <row r="5">
      <c r="A5" s="3" t="inlineStr">
        <is>
          <t>Metric</t>
        </is>
      </c>
      <c r="B5" s="3" t="inlineStr">
        <is>
          <t>2021-09-25</t>
        </is>
      </c>
      <c r="C5" s="3" t="inlineStr">
        <is>
          <t>2022-09-24</t>
        </is>
      </c>
      <c r="D5" s="3" t="inlineStr">
        <is>
          <t>2023-09-30</t>
        </is>
      </c>
      <c r="E5" s="3" t="inlineStr">
        <is>
          <t>2024-09-28</t>
        </is>
      </c>
      <c r="F5" s="3" t="inlineStr">
        <is>
          <t>2025-09-27</t>
        </is>
      </c>
    </row>
    <row r="6">
      <c r="A6" s="4" t="inlineStr">
        <is>
          <t>Revenue</t>
        </is>
      </c>
      <c r="B6" s="5" t="n">
        <v>365817000000</v>
      </c>
      <c r="C6" s="5" t="n">
        <v>394328000000</v>
      </c>
      <c r="D6" s="5" t="n">
        <v>383285000000</v>
      </c>
      <c r="E6" s="5" t="n">
        <v>391035000000</v>
      </c>
      <c r="F6" s="5" t="n">
        <v>416161000000</v>
      </c>
    </row>
    <row r="7">
      <c r="A7" s="6" t="inlineStr">
        <is>
          <t>YoY Growth</t>
        </is>
      </c>
      <c r="B7" s="7" t="inlineStr">
        <is>
          <t>N/A</t>
        </is>
      </c>
      <c r="C7" s="7">
        <f>IF(B6=0,"N/A",(C6-B6)/ABS(B6))</f>
        <v/>
      </c>
      <c r="D7" s="7">
        <f>IF(C6=0,"N/A",(D6-C6)/ABS(C6))</f>
        <v/>
      </c>
      <c r="E7" s="7">
        <f>IF(D6=0,"N/A",(E6-D6)/ABS(D6))</f>
        <v/>
      </c>
      <c r="F7" s="7">
        <f>IF(E6=0,"N/A",(F6-E6)/ABS(E6))</f>
        <v/>
      </c>
    </row>
    <row r="8">
      <c r="A8" s="4" t="inlineStr">
        <is>
          <t>Gross Profit</t>
        </is>
      </c>
      <c r="B8" s="5" t="n">
        <v>152836000000</v>
      </c>
      <c r="C8" s="5" t="n">
        <v>170782000000</v>
      </c>
      <c r="D8" s="5" t="n">
        <v>169148000000</v>
      </c>
      <c r="E8" s="5" t="n">
        <v>180683000000</v>
      </c>
      <c r="F8" s="5" t="n">
        <v>195201000000</v>
      </c>
    </row>
    <row r="9">
      <c r="A9" s="6" t="inlineStr">
        <is>
          <t>YoY Growth</t>
        </is>
      </c>
      <c r="B9" s="7" t="inlineStr">
        <is>
          <t>N/A</t>
        </is>
      </c>
      <c r="C9" s="7">
        <f>IF(B8=0,"N/A",(C8-B8)/ABS(B8))</f>
        <v/>
      </c>
      <c r="D9" s="7">
        <f>IF(C8=0,"N/A",(D8-C8)/ABS(C8))</f>
        <v/>
      </c>
      <c r="E9" s="7">
        <f>IF(D8=0,"N/A",(E8-D8)/ABS(D8))</f>
        <v/>
      </c>
      <c r="F9" s="7">
        <f>IF(E8=0,"N/A",(F8-E8)/ABS(E8))</f>
        <v/>
      </c>
    </row>
    <row r="10">
      <c r="A10" s="4" t="inlineStr">
        <is>
          <t>Operating Income</t>
        </is>
      </c>
      <c r="B10" s="5" t="n">
        <v>108949000000</v>
      </c>
      <c r="C10" s="5" t="n">
        <v>119437000000</v>
      </c>
      <c r="D10" s="5" t="n">
        <v>114301000000</v>
      </c>
      <c r="E10" s="5" t="n">
        <v>123216000000</v>
      </c>
      <c r="F10" s="5" t="n">
        <v>133050000000</v>
      </c>
    </row>
    <row r="11">
      <c r="A11" s="6" t="inlineStr">
        <is>
          <t>YoY Growth</t>
        </is>
      </c>
      <c r="B11" s="7" t="inlineStr">
        <is>
          <t>N/A</t>
        </is>
      </c>
      <c r="C11" s="7">
        <f>IF(B10=0,"N/A",(C10-B10)/ABS(B10))</f>
        <v/>
      </c>
      <c r="D11" s="7">
        <f>IF(C10=0,"N/A",(D10-C10)/ABS(C10))</f>
        <v/>
      </c>
      <c r="E11" s="7">
        <f>IF(D10=0,"N/A",(E10-D10)/ABS(D10))</f>
        <v/>
      </c>
      <c r="F11" s="7">
        <f>IF(E10=0,"N/A",(F10-E10)/ABS(E10))</f>
        <v/>
      </c>
    </row>
    <row r="12">
      <c r="A12" s="4" t="inlineStr">
        <is>
          <t>Net Income</t>
        </is>
      </c>
      <c r="B12" s="5" t="n">
        <v>94680000000</v>
      </c>
      <c r="C12" s="5" t="n">
        <v>99803000000</v>
      </c>
      <c r="D12" s="5" t="n">
        <v>96995000000</v>
      </c>
      <c r="E12" s="5" t="n">
        <v>93736000000</v>
      </c>
      <c r="F12" s="5" t="n">
        <v>112010000000</v>
      </c>
    </row>
    <row r="13">
      <c r="A13" s="6" t="inlineStr">
        <is>
          <t>YoY Growth</t>
        </is>
      </c>
      <c r="B13" s="7" t="inlineStr">
        <is>
          <t>N/A</t>
        </is>
      </c>
      <c r="C13" s="7">
        <f>IF(B12=0,"N/A",(C12-B12)/ABS(B12))</f>
        <v/>
      </c>
      <c r="D13" s="7">
        <f>IF(C12=0,"N/A",(D12-C12)/ABS(C12))</f>
        <v/>
      </c>
      <c r="E13" s="7">
        <f>IF(D12=0,"N/A",(E12-D12)/ABS(D12))</f>
        <v/>
      </c>
      <c r="F13" s="7">
        <f>IF(E12=0,"N/A",(F12-E12)/ABS(E12))</f>
        <v/>
      </c>
    </row>
    <row r="14">
      <c r="A14" s="4" t="inlineStr">
        <is>
          <t>Diluted EPS</t>
        </is>
      </c>
      <c r="B14" s="8" t="n">
        <v>5.61</v>
      </c>
      <c r="C14" s="8" t="n">
        <v>6.11</v>
      </c>
      <c r="D14" s="8" t="n">
        <v>6.13</v>
      </c>
      <c r="E14" s="8" t="n">
        <v>6.08</v>
      </c>
      <c r="F14" s="8" t="n">
        <v>7.46</v>
      </c>
    </row>
    <row r="15">
      <c r="A15" s="6" t="inlineStr">
        <is>
          <t>YoY Growth</t>
        </is>
      </c>
      <c r="B15" s="7" t="inlineStr">
        <is>
          <t>N/A</t>
        </is>
      </c>
      <c r="C15" s="7">
        <f>IF(B14=0,"N/A",(C14-B14)/ABS(B14))</f>
        <v/>
      </c>
      <c r="D15" s="7">
        <f>IF(C14=0,"N/A",(D14-C14)/ABS(C14))</f>
        <v/>
      </c>
      <c r="E15" s="7">
        <f>IF(D14=0,"N/A",(E14-D14)/ABS(D14))</f>
        <v/>
      </c>
      <c r="F15" s="7">
        <f>IF(E14=0,"N/A",(F14-E14)/ABS(E14))</f>
        <v/>
      </c>
    </row>
    <row r="18">
      <c r="A18" s="9" t="inlineStr">
        <is>
          <t>PROFITABILITY</t>
        </is>
      </c>
      <c r="B18" s="10" t="n"/>
      <c r="C18" s="10" t="n"/>
      <c r="D18" s="10" t="n"/>
      <c r="E18" s="10" t="n"/>
      <c r="F18" s="10" t="n"/>
    </row>
    <row r="19">
      <c r="A19" s="11" t="inlineStr">
        <is>
          <t>Gross Margin</t>
        </is>
      </c>
      <c r="B19" s="7">
        <f>IFERROR(B8/B6,"N/A")</f>
        <v/>
      </c>
      <c r="C19" s="7">
        <f>IFERROR(C8/C6,"N/A")</f>
        <v/>
      </c>
      <c r="D19" s="7">
        <f>IFERROR(D8/D6,"N/A")</f>
        <v/>
      </c>
      <c r="E19" s="7">
        <f>IFERROR(E8/E6,"N/A")</f>
        <v/>
      </c>
      <c r="F19" s="7">
        <f>IFERROR(F8/F6,"N/A")</f>
        <v/>
      </c>
    </row>
    <row r="20">
      <c r="A20" s="11" t="inlineStr">
        <is>
          <t>Operating Margin</t>
        </is>
      </c>
      <c r="B20" s="7">
        <f>IFERROR(B10/B6,"N/A")</f>
        <v/>
      </c>
      <c r="C20" s="7">
        <f>IFERROR(C10/C6,"N/A")</f>
        <v/>
      </c>
      <c r="D20" s="7">
        <f>IFERROR(D10/D6,"N/A")</f>
        <v/>
      </c>
      <c r="E20" s="7">
        <f>IFERROR(E10/E6,"N/A")</f>
        <v/>
      </c>
      <c r="F20" s="7">
        <f>IFERROR(F10/F6,"N/A")</f>
        <v/>
      </c>
    </row>
    <row r="21">
      <c r="A21" s="11" t="inlineStr">
        <is>
          <t>Net Margin</t>
        </is>
      </c>
      <c r="B21" s="7">
        <f>IFERROR(B12/B6,"N/A")</f>
        <v/>
      </c>
      <c r="C21" s="7">
        <f>IFERROR(C12/C6,"N/A")</f>
        <v/>
      </c>
      <c r="D21" s="7">
        <f>IFERROR(D12/D6,"N/A")</f>
        <v/>
      </c>
      <c r="E21" s="7">
        <f>IFERROR(E12/E6,"N/A")</f>
        <v/>
      </c>
      <c r="F21" s="7">
        <f>IFERROR(F12/F6,"N/A")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ANALYSIS</t>
        </is>
      </c>
    </row>
    <row r="2">
      <c r="A2" s="2" t="inlineStr">
        <is>
          <t>Apple Inc.</t>
        </is>
      </c>
    </row>
    <row r="3">
      <c r="A3" t="inlineStr">
        <is>
          <t>AAPL</t>
        </is>
      </c>
    </row>
    <row r="5">
      <c r="A5" s="3" t="inlineStr">
        <is>
          <t>Metric</t>
        </is>
      </c>
      <c r="B5" s="3" t="inlineStr">
        <is>
          <t>2021-09-25</t>
        </is>
      </c>
      <c r="C5" s="3" t="inlineStr">
        <is>
          <t>2022-09-24</t>
        </is>
      </c>
      <c r="D5" s="3" t="inlineStr">
        <is>
          <t>2023-09-30</t>
        </is>
      </c>
      <c r="E5" s="3" t="inlineStr">
        <is>
          <t>2024-09-28</t>
        </is>
      </c>
      <c r="F5" s="3" t="inlineStr">
        <is>
          <t>2025-09-27</t>
        </is>
      </c>
    </row>
    <row r="6">
      <c r="A6" s="4" t="inlineStr">
        <is>
          <t>Cash &amp; Cash Equivalents</t>
        </is>
      </c>
      <c r="B6" s="5" t="n">
        <v>34940000000</v>
      </c>
      <c r="C6" s="5" t="n">
        <v>23646000000</v>
      </c>
      <c r="D6" s="5" t="n">
        <v>29965000000</v>
      </c>
      <c r="E6" s="5" t="n">
        <v>29943000000</v>
      </c>
      <c r="F6" s="5" t="n">
        <v>35934000000</v>
      </c>
    </row>
    <row r="7">
      <c r="A7" s="4" t="inlineStr">
        <is>
          <t>Current Assets</t>
        </is>
      </c>
      <c r="B7" s="5" t="n">
        <v>134836000000</v>
      </c>
      <c r="C7" s="5" t="n">
        <v>135405000000</v>
      </c>
      <c r="D7" s="5" t="n">
        <v>143566000000</v>
      </c>
      <c r="E7" s="5" t="n">
        <v>152987000000</v>
      </c>
      <c r="F7" s="5" t="n">
        <v>147957000000</v>
      </c>
    </row>
    <row r="8">
      <c r="A8" s="4" t="inlineStr">
        <is>
          <t>Current Liabilities</t>
        </is>
      </c>
      <c r="B8" s="5" t="n">
        <v>125481000000</v>
      </c>
      <c r="C8" s="5" t="n">
        <v>153982000000</v>
      </c>
      <c r="D8" s="5" t="n">
        <v>145308000000</v>
      </c>
      <c r="E8" s="5" t="n">
        <v>176392000000</v>
      </c>
      <c r="F8" s="5" t="n">
        <v>165631000000</v>
      </c>
    </row>
    <row r="10">
      <c r="A10" s="4" t="inlineStr">
        <is>
          <t>Total Assets</t>
        </is>
      </c>
      <c r="B10" s="5" t="n">
        <v>351002000000</v>
      </c>
      <c r="C10" s="5" t="n">
        <v>352755000000</v>
      </c>
      <c r="D10" s="5" t="n">
        <v>352583000000</v>
      </c>
      <c r="E10" s="5" t="n">
        <v>364980000000</v>
      </c>
      <c r="F10" s="5" t="n">
        <v>359241000000</v>
      </c>
    </row>
    <row r="11">
      <c r="A11" s="4" t="inlineStr">
        <is>
          <t>Total Liabilities</t>
        </is>
      </c>
      <c r="B11" s="5" t="n">
        <v>287912000000</v>
      </c>
      <c r="C11" s="5" t="n">
        <v>302083000000</v>
      </c>
      <c r="D11" s="5" t="n">
        <v>290437000000</v>
      </c>
      <c r="E11" s="5" t="n">
        <v>308030000000</v>
      </c>
      <c r="F11" s="5" t="n">
        <v>285508000000</v>
      </c>
    </row>
    <row r="12">
      <c r="A12" s="4" t="inlineStr">
        <is>
          <t>Stockholders' Equity</t>
        </is>
      </c>
      <c r="B12" s="5" t="n">
        <v>63090000000</v>
      </c>
      <c r="C12" s="5" t="n">
        <v>50672000000</v>
      </c>
      <c r="D12" s="5" t="n">
        <v>62146000000</v>
      </c>
      <c r="E12" s="5" t="n">
        <v>56950000000</v>
      </c>
      <c r="F12" s="5" t="n">
        <v>73733000000</v>
      </c>
    </row>
    <row r="15">
      <c r="A15" s="9" t="inlineStr">
        <is>
          <t>FINANCIAL HEALTH</t>
        </is>
      </c>
      <c r="B15" s="10" t="n"/>
      <c r="C15" s="10" t="n"/>
      <c r="D15" s="10" t="n"/>
      <c r="E15" s="10" t="n"/>
      <c r="F15" s="10" t="n"/>
    </row>
    <row r="16">
      <c r="A16" s="11" t="inlineStr">
        <is>
          <t>Current Ratio</t>
        </is>
      </c>
      <c r="B16" s="12">
        <f>IFERROR(B7/B8,"N/A")</f>
        <v/>
      </c>
      <c r="C16" s="12">
        <f>IFERROR(C7/C8,"N/A")</f>
        <v/>
      </c>
      <c r="D16" s="12">
        <f>IFERROR(D7/D8,"N/A")</f>
        <v/>
      </c>
      <c r="E16" s="12">
        <f>IFERROR(E7/E8,"N/A")</f>
        <v/>
      </c>
      <c r="F16" s="12">
        <f>IFERROR(F7/F8,"N/A")</f>
        <v/>
      </c>
    </row>
    <row r="17">
      <c r="A17" s="11" t="inlineStr">
        <is>
          <t>Liabilities / Assets</t>
        </is>
      </c>
      <c r="B17" s="7">
        <f>IFERROR(B11/B10,"N/A")</f>
        <v/>
      </c>
      <c r="C17" s="7">
        <f>IFERROR(C11/C10,"N/A")</f>
        <v/>
      </c>
      <c r="D17" s="7">
        <f>IFERROR(D11/D10,"N/A")</f>
        <v/>
      </c>
      <c r="E17" s="7">
        <f>IFERROR(E11/E10,"N/A")</f>
        <v/>
      </c>
      <c r="F17" s="7">
        <f>IFERROR(F11/F10,"N/A")</f>
        <v/>
      </c>
    </row>
    <row r="18">
      <c r="A18" s="11" t="inlineStr">
        <is>
          <t>Equity Ratio</t>
        </is>
      </c>
      <c r="B18" s="7">
        <f>IFERROR(B12/B10,"N/A")</f>
        <v/>
      </c>
      <c r="C18" s="7">
        <f>IFERROR(C12/C10,"N/A")</f>
        <v/>
      </c>
      <c r="D18" s="7">
        <f>IFERROR(D12/D10,"N/A")</f>
        <v/>
      </c>
      <c r="E18" s="7">
        <f>IFERROR(E12/E10,"N/A")</f>
        <v/>
      </c>
      <c r="F18" s="7">
        <f>IFERROR(F12/F10,"N/A")</f>
        <v/>
      </c>
    </row>
    <row r="21">
      <c r="A21" s="13" t="inlineStr">
        <is>
          <t>DATA VALIDATION</t>
        </is>
      </c>
      <c r="B21" s="14" t="n"/>
      <c r="C21" s="14" t="n"/>
      <c r="D21" s="14" t="n"/>
      <c r="E21" s="14" t="n"/>
      <c r="F21" s="14" t="n"/>
    </row>
    <row r="22">
      <c r="A22" s="11" t="inlineStr">
        <is>
          <t>Assets - (Liabilities + Equity)</t>
        </is>
      </c>
      <c r="B22" s="15">
        <f>B10-(B11+B12)</f>
        <v/>
      </c>
      <c r="C22" s="15">
        <f>C10-(C11+C12)</f>
        <v/>
      </c>
      <c r="D22" s="15">
        <f>D10-(D11+D12)</f>
        <v/>
      </c>
      <c r="E22" s="15">
        <f>E10-(E11+E12)</f>
        <v/>
      </c>
      <c r="F22" s="15">
        <f>F10-(F11+F12)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2026-10-09T13:20:52Z</dcterms:created>
  <dcterms:modified xsi:type="dcterms:W3CDTF">2026-10-09T13:20:52Z</dcterms:modified>
</cp:coreProperties>
</file>